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729"/>
  <workbookPr defaultThemeVersion="164011"/>
  <mc:AlternateContent xmlns:mc="http://schemas.openxmlformats.org/markup-compatibility/2006">
    <mc:Choice Requires="x15">
      <x15ac:absPath xmlns:x15ac="http://schemas.microsoft.com/office/spreadsheetml/2010/11/ac" url="C:\Users\LEGION\OneDrive\Documents\"/>
    </mc:Choice>
  </mc:AlternateContent>
  <bookViews>
    <workbookView xWindow="0" yWindow="0" windowWidth="19368" windowHeight="8388" firstSheet="1" activeTab="1"/>
  </bookViews>
  <sheets>
    <sheet name="Sheet1" sheetId="1" state="hidden" r:id="rId1"/>
    <sheet name="Services"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 i="2" l="1"/>
  <c r="F7" i="2"/>
  <c r="G7" i="2"/>
  <c r="G6" i="2"/>
  <c r="E7" i="2"/>
  <c r="C7" i="2"/>
  <c r="B7" i="2"/>
  <c r="G5" i="2"/>
  <c r="G4" i="2"/>
  <c r="G3" i="2"/>
  <c r="E10" i="2" l="1"/>
  <c r="O9" i="1" l="1"/>
  <c r="P10" i="1"/>
  <c r="P9" i="1"/>
  <c r="P7" i="1"/>
  <c r="O7" i="1"/>
  <c r="H16" i="1"/>
  <c r="I16" i="1"/>
  <c r="G16" i="1"/>
  <c r="I15" i="1" l="1"/>
  <c r="H15" i="1"/>
  <c r="I14" i="1"/>
  <c r="H14" i="1"/>
  <c r="G14" i="1"/>
  <c r="G15" i="1"/>
</calcChain>
</file>

<file path=xl/comments1.xml><?xml version="1.0" encoding="utf-8"?>
<comments xmlns="http://schemas.openxmlformats.org/spreadsheetml/2006/main">
  <authors>
    <author>LEGION</author>
  </authors>
  <commentList>
    <comment ref="C7" authorId="0" shapeId="0">
      <text>
        <r>
          <rPr>
            <b/>
            <sz val="9"/>
            <color indexed="81"/>
            <rFont val="Tahoma"/>
            <family val="2"/>
          </rPr>
          <t>LEGION:</t>
        </r>
        <r>
          <rPr>
            <sz val="9"/>
            <color indexed="81"/>
            <rFont val="Tahoma"/>
            <family val="2"/>
          </rPr>
          <t xml:space="preserve">
This is the should be wallet balance for employer
</t>
        </r>
      </text>
    </comment>
  </commentList>
</comments>
</file>

<file path=xl/sharedStrings.xml><?xml version="1.0" encoding="utf-8"?>
<sst xmlns="http://schemas.openxmlformats.org/spreadsheetml/2006/main" count="52" uniqueCount="44">
  <si>
    <t>EMPLOYER</t>
  </si>
  <si>
    <t>JOBSEEKER</t>
  </si>
  <si>
    <t>Beginning Bal</t>
  </si>
  <si>
    <t>Employer</t>
  </si>
  <si>
    <t>Nyxian</t>
  </si>
  <si>
    <t>Missing</t>
  </si>
  <si>
    <t>Over</t>
  </si>
  <si>
    <t>Funds</t>
  </si>
  <si>
    <t>Beg. Balance</t>
  </si>
  <si>
    <t>Transaction 1: Service Posting</t>
  </si>
  <si>
    <t>Transaction 2: Service Posting</t>
  </si>
  <si>
    <t>Transaction 3: Service Posting</t>
  </si>
  <si>
    <t>Credited to Nyxian</t>
  </si>
  <si>
    <t>Income Stream</t>
  </si>
  <si>
    <t>Rate</t>
  </si>
  <si>
    <t>Base Amount</t>
  </si>
  <si>
    <t xml:space="preserve">Transaction Fees </t>
  </si>
  <si>
    <t>Convenience Fees</t>
  </si>
  <si>
    <t>Subscription Fees</t>
  </si>
  <si>
    <t>Difference</t>
  </si>
  <si>
    <t xml:space="preserve">Agreed Job Rate </t>
  </si>
  <si>
    <t>Deducted only when job is successfully completed</t>
  </si>
  <si>
    <t>Should be</t>
  </si>
  <si>
    <t>Total Remaining Balance</t>
  </si>
  <si>
    <t>Reflected total earned</t>
  </si>
  <si>
    <t>Should be 3%</t>
  </si>
  <si>
    <t>Nyxian Paid Fees to platform only 1%</t>
  </si>
  <si>
    <t xml:space="preserve">Should be reflected </t>
  </si>
  <si>
    <t>Should be Breakdown Sample when transaction details is viewed:</t>
  </si>
  <si>
    <t>Transaction 4: Service Posting</t>
  </si>
  <si>
    <t>When payment is made, suddenly session expires twice before your successful payment. After 2nd login in, that's rating window pop out.</t>
  </si>
  <si>
    <t>Employer to Nyxian rating not working immediately, only when closed then opened again</t>
  </si>
  <si>
    <t>Current Wallet Balance</t>
  </si>
  <si>
    <t>Notes:</t>
  </si>
  <si>
    <t>We need to modify the Employer Transaction fees to 7% plus Convenience fees of 3%, and both should only be deducted for successful transactions.</t>
  </si>
  <si>
    <t>After the above two updates are made, the wallet balance should now reflect the correct balance.</t>
  </si>
  <si>
    <t>Additional notes:</t>
  </si>
  <si>
    <t>In the Employer wallet, the amount for transaction and convenience fees are not deducted and there is an unknown amount that keeps adding to the wallet balance.</t>
  </si>
  <si>
    <t>Difference (Unknown amount added)</t>
  </si>
  <si>
    <t>Commission Fees</t>
  </si>
  <si>
    <t>Amount paid to worker</t>
  </si>
  <si>
    <t xml:space="preserve">In the Nyxian wallet,1% is immediately deducted to the wallet balance, this should not be the case. We should deduct 3% commission fees and reflect it as well in the details breakdown </t>
  </si>
  <si>
    <t>The commission fees we need to impose is 3%,e.g for a 2000 transaction to be paid to worker, the Nyxian will receive 1940, while the 60 should go to the company funds</t>
  </si>
  <si>
    <t>We should be able to monitor all fees coming from Employer and Nyxian to the company funds ( example: for the 4 transactions made above, the total fees paid by employer was 900 while the jobseeker paid 270, total company income we should be able to see in the admin side should be 1,170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</si>
</sst>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6" x14ac:knownFonts="1">
    <font>
      <sz val="11"/>
      <color theme="1"/>
      <name val="Calibri"/>
      <family val="2"/>
      <scheme val="minor"/>
    </font>
    <font>
      <sz val="11"/>
      <color theme="1"/>
      <name val="Calibri"/>
      <family val="2"/>
      <scheme val="minor"/>
    </font>
    <font>
      <sz val="10"/>
      <name val="Arial"/>
      <family val="2"/>
    </font>
    <font>
      <b/>
      <sz val="11"/>
      <color theme="1"/>
      <name val="Calibri"/>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43" fontId="2" fillId="0" borderId="0" xfId="1" applyFont="1"/>
    <xf numFmtId="43" fontId="0" fillId="0" borderId="0" xfId="0" applyNumberFormat="1"/>
    <xf numFmtId="43" fontId="0" fillId="0" borderId="0" xfId="1" applyFont="1"/>
    <xf numFmtId="9" fontId="0" fillId="0" borderId="0" xfId="2" applyFont="1"/>
    <xf numFmtId="0" fontId="3" fillId="0" borderId="0" xfId="0" applyFont="1"/>
    <xf numFmtId="43" fontId="3" fillId="0" borderId="0" xfId="0" applyNumberFormat="1" applyFont="1"/>
    <xf numFmtId="0" fontId="3" fillId="2" borderId="1" xfId="0" applyFont="1" applyFill="1" applyBorder="1" applyAlignment="1">
      <alignment vertical="top" wrapText="1"/>
    </xf>
    <xf numFmtId="0" fontId="0" fillId="0" borderId="0" xfId="0" applyAlignment="1">
      <alignment wrapText="1"/>
    </xf>
    <xf numFmtId="43" fontId="3" fillId="0" borderId="0" xfId="1" applyFont="1"/>
    <xf numFmtId="0" fontId="3" fillId="3" borderId="0" xfId="0" applyFont="1" applyFill="1"/>
    <xf numFmtId="0" fontId="0" fillId="3" borderId="0" xfId="0" applyFill="1"/>
    <xf numFmtId="43" fontId="0" fillId="3" borderId="0" xfId="1" applyFont="1" applyFill="1"/>
    <xf numFmtId="43" fontId="3" fillId="3" borderId="0" xfId="0" applyNumberFormat="1" applyFont="1" applyFill="1"/>
    <xf numFmtId="0" fontId="0" fillId="4" borderId="0" xfId="0" applyFill="1"/>
    <xf numFmtId="0" fontId="0" fillId="4" borderId="1" xfId="0" applyFill="1" applyBorder="1"/>
    <xf numFmtId="9" fontId="0" fillId="4" borderId="1" xfId="2" applyFont="1" applyFill="1" applyBorder="1"/>
    <xf numFmtId="9" fontId="0" fillId="4" borderId="1" xfId="0" applyNumberFormat="1" applyFill="1" applyBorder="1"/>
    <xf numFmtId="0" fontId="0" fillId="4" borderId="1" xfId="0" applyFill="1" applyBorder="1" applyAlignment="1">
      <alignment wrapText="1"/>
    </xf>
    <xf numFmtId="10" fontId="0" fillId="4" borderId="1" xfId="0" applyNumberFormat="1" applyFill="1" applyBorder="1"/>
    <xf numFmtId="43" fontId="0" fillId="6" borderId="0" xfId="0" applyNumberFormat="1" applyFill="1"/>
    <xf numFmtId="0" fontId="0" fillId="5" borderId="0" xfId="0" applyFill="1"/>
    <xf numFmtId="43" fontId="0" fillId="5" borderId="0" xfId="1" applyFont="1"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76200</xdr:rowOff>
    </xdr:from>
    <xdr:to>
      <xdr:col>3</xdr:col>
      <xdr:colOff>396433</xdr:colOff>
      <xdr:row>9</xdr:row>
      <xdr:rowOff>152470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990600"/>
          <a:ext cx="2225233" cy="807790"/>
        </a:xfrm>
        <a:prstGeom prst="rect">
          <a:avLst/>
        </a:prstGeom>
      </xdr:spPr>
    </xdr:pic>
    <xdr:clientData/>
  </xdr:twoCellAnchor>
  <xdr:twoCellAnchor editAs="oneCell">
    <xdr:from>
      <xdr:col>5</xdr:col>
      <xdr:colOff>0</xdr:colOff>
      <xdr:row>5</xdr:row>
      <xdr:rowOff>0</xdr:rowOff>
    </xdr:from>
    <xdr:to>
      <xdr:col>8</xdr:col>
      <xdr:colOff>270413</xdr:colOff>
      <xdr:row>10</xdr:row>
      <xdr:rowOff>122010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48000" y="914400"/>
          <a:ext cx="2263336" cy="1036410"/>
        </a:xfrm>
        <a:prstGeom prst="rect">
          <a:avLst/>
        </a:prstGeom>
      </xdr:spPr>
    </xdr:pic>
    <xdr:clientData/>
  </xdr:twoCellAnchor>
  <xdr:twoCellAnchor editAs="oneCell">
    <xdr:from>
      <xdr:col>0</xdr:col>
      <xdr:colOff>0</xdr:colOff>
      <xdr:row>12</xdr:row>
      <xdr:rowOff>131891</xdr:rowOff>
    </xdr:from>
    <xdr:to>
      <xdr:col>3</xdr:col>
      <xdr:colOff>527947</xdr:colOff>
      <xdr:row>20</xdr:row>
      <xdr:rowOff>1</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2326451"/>
          <a:ext cx="2356747" cy="1331150"/>
        </a:xfrm>
        <a:prstGeom prst="rect">
          <a:avLst/>
        </a:prstGeom>
      </xdr:spPr>
    </xdr:pic>
    <xdr:clientData/>
  </xdr:twoCellAnchor>
  <xdr:twoCellAnchor editAs="oneCell">
    <xdr:from>
      <xdr:col>0</xdr:col>
      <xdr:colOff>0</xdr:colOff>
      <xdr:row>21</xdr:row>
      <xdr:rowOff>31166</xdr:rowOff>
    </xdr:from>
    <xdr:to>
      <xdr:col>3</xdr:col>
      <xdr:colOff>548640</xdr:colOff>
      <xdr:row>32</xdr:row>
      <xdr:rowOff>18509</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3871646"/>
          <a:ext cx="2377440" cy="1999023"/>
        </a:xfrm>
        <a:prstGeom prst="rect">
          <a:avLst/>
        </a:prstGeom>
      </xdr:spPr>
    </xdr:pic>
    <xdr:clientData/>
  </xdr:twoCellAnchor>
  <xdr:twoCellAnchor editAs="oneCell">
    <xdr:from>
      <xdr:col>3</xdr:col>
      <xdr:colOff>597877</xdr:colOff>
      <xdr:row>21</xdr:row>
      <xdr:rowOff>17585</xdr:rowOff>
    </xdr:from>
    <xdr:to>
      <xdr:col>7</xdr:col>
      <xdr:colOff>410308</xdr:colOff>
      <xdr:row>32</xdr:row>
      <xdr:rowOff>30547</xdr:rowOff>
    </xdr:to>
    <xdr:pic>
      <xdr:nvPicPr>
        <xdr:cNvPr id="6" name="Picture 5"/>
        <xdr:cNvPicPr>
          <a:picLocks noChangeAspect="1"/>
        </xdr:cNvPicPr>
      </xdr:nvPicPr>
      <xdr:blipFill>
        <a:blip xmlns:r="http://schemas.openxmlformats.org/officeDocument/2006/relationships" r:embed="rId5"/>
        <a:stretch>
          <a:fillRect/>
        </a:stretch>
      </xdr:blipFill>
      <xdr:spPr>
        <a:xfrm>
          <a:off x="2426677" y="3833447"/>
          <a:ext cx="2385646" cy="2011746"/>
        </a:xfrm>
        <a:prstGeom prst="rect">
          <a:avLst/>
        </a:prstGeom>
      </xdr:spPr>
    </xdr:pic>
    <xdr:clientData/>
  </xdr:twoCellAnchor>
  <xdr:twoCellAnchor editAs="oneCell">
    <xdr:from>
      <xdr:col>4</xdr:col>
      <xdr:colOff>1</xdr:colOff>
      <xdr:row>32</xdr:row>
      <xdr:rowOff>146540</xdr:rowOff>
    </xdr:from>
    <xdr:to>
      <xdr:col>7</xdr:col>
      <xdr:colOff>381000</xdr:colOff>
      <xdr:row>46</xdr:row>
      <xdr:rowOff>44938</xdr:rowOff>
    </xdr:to>
    <xdr:pic>
      <xdr:nvPicPr>
        <xdr:cNvPr id="7" name="Picture 6"/>
        <xdr:cNvPicPr>
          <a:picLocks noChangeAspect="1"/>
        </xdr:cNvPicPr>
      </xdr:nvPicPr>
      <xdr:blipFill>
        <a:blip xmlns:r="http://schemas.openxmlformats.org/officeDocument/2006/relationships" r:embed="rId6"/>
        <a:stretch>
          <a:fillRect/>
        </a:stretch>
      </xdr:blipFill>
      <xdr:spPr>
        <a:xfrm>
          <a:off x="2438401" y="5961186"/>
          <a:ext cx="2344614" cy="2442306"/>
        </a:xfrm>
        <a:prstGeom prst="rect">
          <a:avLst/>
        </a:prstGeom>
      </xdr:spPr>
    </xdr:pic>
    <xdr:clientData/>
  </xdr:twoCellAnchor>
  <xdr:twoCellAnchor editAs="oneCell">
    <xdr:from>
      <xdr:col>3</xdr:col>
      <xdr:colOff>603740</xdr:colOff>
      <xdr:row>46</xdr:row>
      <xdr:rowOff>146530</xdr:rowOff>
    </xdr:from>
    <xdr:to>
      <xdr:col>7</xdr:col>
      <xdr:colOff>386863</xdr:colOff>
      <xdr:row>54</xdr:row>
      <xdr:rowOff>18309</xdr:rowOff>
    </xdr:to>
    <xdr:pic>
      <xdr:nvPicPr>
        <xdr:cNvPr id="9" name="Picture 8"/>
        <xdr:cNvPicPr>
          <a:picLocks noChangeAspect="1"/>
        </xdr:cNvPicPr>
      </xdr:nvPicPr>
      <xdr:blipFill>
        <a:blip xmlns:r="http://schemas.openxmlformats.org/officeDocument/2006/relationships" r:embed="rId7"/>
        <a:stretch>
          <a:fillRect/>
        </a:stretch>
      </xdr:blipFill>
      <xdr:spPr>
        <a:xfrm>
          <a:off x="2432540" y="8505084"/>
          <a:ext cx="2356338" cy="1325440"/>
        </a:xfrm>
        <a:prstGeom prst="rect">
          <a:avLst/>
        </a:prstGeom>
      </xdr:spPr>
    </xdr:pic>
    <xdr:clientData/>
  </xdr:twoCellAnchor>
  <xdr:twoCellAnchor editAs="oneCell">
    <xdr:from>
      <xdr:col>0</xdr:col>
      <xdr:colOff>0</xdr:colOff>
      <xdr:row>32</xdr:row>
      <xdr:rowOff>64476</xdr:rowOff>
    </xdr:from>
    <xdr:to>
      <xdr:col>3</xdr:col>
      <xdr:colOff>475410</xdr:colOff>
      <xdr:row>43</xdr:row>
      <xdr:rowOff>35168</xdr:rowOff>
    </xdr:to>
    <xdr:pic>
      <xdr:nvPicPr>
        <xdr:cNvPr id="10" name="Picture 9"/>
        <xdr:cNvPicPr>
          <a:picLocks noChangeAspect="1"/>
        </xdr:cNvPicPr>
      </xdr:nvPicPr>
      <xdr:blipFill>
        <a:blip xmlns:r="http://schemas.openxmlformats.org/officeDocument/2006/relationships" r:embed="rId8"/>
        <a:stretch>
          <a:fillRect/>
        </a:stretch>
      </xdr:blipFill>
      <xdr:spPr>
        <a:xfrm>
          <a:off x="0" y="5879122"/>
          <a:ext cx="2304210" cy="1969477"/>
        </a:xfrm>
        <a:prstGeom prst="rect">
          <a:avLst/>
        </a:prstGeom>
      </xdr:spPr>
    </xdr:pic>
    <xdr:clientData/>
  </xdr:twoCellAnchor>
  <xdr:twoCellAnchor editAs="oneCell">
    <xdr:from>
      <xdr:col>9</xdr:col>
      <xdr:colOff>240323</xdr:colOff>
      <xdr:row>2</xdr:row>
      <xdr:rowOff>35169</xdr:rowOff>
    </xdr:from>
    <xdr:to>
      <xdr:col>12</xdr:col>
      <xdr:colOff>510216</xdr:colOff>
      <xdr:row>21</xdr:row>
      <xdr:rowOff>96564</xdr:rowOff>
    </xdr:to>
    <xdr:pic>
      <xdr:nvPicPr>
        <xdr:cNvPr id="11" name="Picture 10"/>
        <xdr:cNvPicPr>
          <a:picLocks noChangeAspect="1"/>
        </xdr:cNvPicPr>
      </xdr:nvPicPr>
      <xdr:blipFill>
        <a:blip xmlns:r="http://schemas.openxmlformats.org/officeDocument/2006/relationships" r:embed="rId9"/>
        <a:stretch>
          <a:fillRect/>
        </a:stretch>
      </xdr:blipFill>
      <xdr:spPr>
        <a:xfrm>
          <a:off x="5890846" y="398584"/>
          <a:ext cx="2098693" cy="3513842"/>
        </a:xfrm>
        <a:prstGeom prst="rect">
          <a:avLst/>
        </a:prstGeom>
      </xdr:spPr>
    </xdr:pic>
    <xdr:clientData/>
  </xdr:twoCellAnchor>
  <xdr:twoCellAnchor editAs="oneCell">
    <xdr:from>
      <xdr:col>16</xdr:col>
      <xdr:colOff>298940</xdr:colOff>
      <xdr:row>0</xdr:row>
      <xdr:rowOff>0</xdr:rowOff>
    </xdr:from>
    <xdr:to>
      <xdr:col>22</xdr:col>
      <xdr:colOff>169986</xdr:colOff>
      <xdr:row>9</xdr:row>
      <xdr:rowOff>17467</xdr:rowOff>
    </xdr:to>
    <xdr:pic>
      <xdr:nvPicPr>
        <xdr:cNvPr id="12" name="Picture 11"/>
        <xdr:cNvPicPr>
          <a:picLocks noChangeAspect="1"/>
        </xdr:cNvPicPr>
      </xdr:nvPicPr>
      <xdr:blipFill>
        <a:blip xmlns:r="http://schemas.openxmlformats.org/officeDocument/2006/relationships" r:embed="rId10"/>
        <a:stretch>
          <a:fillRect/>
        </a:stretch>
      </xdr:blipFill>
      <xdr:spPr>
        <a:xfrm>
          <a:off x="10544909" y="0"/>
          <a:ext cx="3528646" cy="1652836"/>
        </a:xfrm>
        <a:prstGeom prst="rect">
          <a:avLst/>
        </a:prstGeom>
      </xdr:spPr>
    </xdr:pic>
    <xdr:clientData/>
  </xdr:twoCellAnchor>
  <xdr:twoCellAnchor editAs="oneCell">
    <xdr:from>
      <xdr:col>16</xdr:col>
      <xdr:colOff>298939</xdr:colOff>
      <xdr:row>9</xdr:row>
      <xdr:rowOff>111369</xdr:rowOff>
    </xdr:from>
    <xdr:to>
      <xdr:col>20</xdr:col>
      <xdr:colOff>504908</xdr:colOff>
      <xdr:row>16</xdr:row>
      <xdr:rowOff>134927</xdr:rowOff>
    </xdr:to>
    <xdr:pic>
      <xdr:nvPicPr>
        <xdr:cNvPr id="13" name="Picture 12"/>
        <xdr:cNvPicPr>
          <a:picLocks noChangeAspect="1"/>
        </xdr:cNvPicPr>
      </xdr:nvPicPr>
      <xdr:blipFill>
        <a:blip xmlns:r="http://schemas.openxmlformats.org/officeDocument/2006/relationships" r:embed="rId11"/>
        <a:stretch>
          <a:fillRect/>
        </a:stretch>
      </xdr:blipFill>
      <xdr:spPr>
        <a:xfrm>
          <a:off x="10644554" y="1746738"/>
          <a:ext cx="2644369" cy="12955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152400</xdr:colOff>
      <xdr:row>0</xdr:row>
      <xdr:rowOff>0</xdr:rowOff>
    </xdr:from>
    <xdr:to>
      <xdr:col>11</xdr:col>
      <xdr:colOff>457200</xdr:colOff>
      <xdr:row>7</xdr:row>
      <xdr:rowOff>388706</xdr:rowOff>
    </xdr:to>
    <xdr:pic>
      <xdr:nvPicPr>
        <xdr:cNvPr id="2" name="Picture 1"/>
        <xdr:cNvPicPr>
          <a:picLocks noChangeAspect="1"/>
        </xdr:cNvPicPr>
      </xdr:nvPicPr>
      <xdr:blipFill>
        <a:blip xmlns:r="http://schemas.openxmlformats.org/officeDocument/2006/relationships" r:embed="rId1"/>
        <a:stretch>
          <a:fillRect/>
        </a:stretch>
      </xdr:blipFill>
      <xdr:spPr>
        <a:xfrm>
          <a:off x="8260080" y="0"/>
          <a:ext cx="2743200" cy="1675397"/>
        </a:xfrm>
        <a:prstGeom prst="rect">
          <a:avLst/>
        </a:prstGeom>
      </xdr:spPr>
    </xdr:pic>
    <xdr:clientData/>
  </xdr:twoCellAnchor>
  <xdr:twoCellAnchor editAs="oneCell">
    <xdr:from>
      <xdr:col>11</xdr:col>
      <xdr:colOff>502921</xdr:colOff>
      <xdr:row>0</xdr:row>
      <xdr:rowOff>0</xdr:rowOff>
    </xdr:from>
    <xdr:to>
      <xdr:col>15</xdr:col>
      <xdr:colOff>68581</xdr:colOff>
      <xdr:row>7</xdr:row>
      <xdr:rowOff>387888</xdr:rowOff>
    </xdr:to>
    <xdr:pic>
      <xdr:nvPicPr>
        <xdr:cNvPr id="3" name="Picture 2"/>
        <xdr:cNvPicPr>
          <a:picLocks noChangeAspect="1"/>
        </xdr:cNvPicPr>
      </xdr:nvPicPr>
      <xdr:blipFill>
        <a:blip xmlns:r="http://schemas.openxmlformats.org/officeDocument/2006/relationships" r:embed="rId2"/>
        <a:stretch>
          <a:fillRect/>
        </a:stretch>
      </xdr:blipFill>
      <xdr:spPr>
        <a:xfrm>
          <a:off x="7650481" y="0"/>
          <a:ext cx="2004060" cy="1674579"/>
        </a:xfrm>
        <a:prstGeom prst="rect">
          <a:avLst/>
        </a:prstGeom>
      </xdr:spPr>
    </xdr:pic>
    <xdr:clientData/>
  </xdr:twoCellAnchor>
  <xdr:twoCellAnchor editAs="oneCell">
    <xdr:from>
      <xdr:col>7</xdr:col>
      <xdr:colOff>83821</xdr:colOff>
      <xdr:row>8</xdr:row>
      <xdr:rowOff>114301</xdr:rowOff>
    </xdr:from>
    <xdr:to>
      <xdr:col>11</xdr:col>
      <xdr:colOff>426510</xdr:colOff>
      <xdr:row>13</xdr:row>
      <xdr:rowOff>215537</xdr:rowOff>
    </xdr:to>
    <xdr:pic>
      <xdr:nvPicPr>
        <xdr:cNvPr id="4" name="Picture 3"/>
        <xdr:cNvPicPr>
          <a:picLocks noChangeAspect="1"/>
        </xdr:cNvPicPr>
      </xdr:nvPicPr>
      <xdr:blipFill>
        <a:blip xmlns:r="http://schemas.openxmlformats.org/officeDocument/2006/relationships" r:embed="rId3"/>
        <a:stretch>
          <a:fillRect/>
        </a:stretch>
      </xdr:blipFill>
      <xdr:spPr>
        <a:xfrm>
          <a:off x="8191501" y="2125981"/>
          <a:ext cx="2781089" cy="1752599"/>
        </a:xfrm>
        <a:prstGeom prst="rect">
          <a:avLst/>
        </a:prstGeom>
      </xdr:spPr>
    </xdr:pic>
    <xdr:clientData/>
  </xdr:twoCellAnchor>
  <xdr:twoCellAnchor editAs="oneCell">
    <xdr:from>
      <xdr:col>11</xdr:col>
      <xdr:colOff>563880</xdr:colOff>
      <xdr:row>8</xdr:row>
      <xdr:rowOff>103937</xdr:rowOff>
    </xdr:from>
    <xdr:to>
      <xdr:col>18</xdr:col>
      <xdr:colOff>457200</xdr:colOff>
      <xdr:row>13</xdr:row>
      <xdr:rowOff>206926</xdr:rowOff>
    </xdr:to>
    <xdr:pic>
      <xdr:nvPicPr>
        <xdr:cNvPr id="6" name="Picture 5"/>
        <xdr:cNvPicPr>
          <a:picLocks noChangeAspect="1"/>
        </xdr:cNvPicPr>
      </xdr:nvPicPr>
      <xdr:blipFill>
        <a:blip xmlns:r="http://schemas.openxmlformats.org/officeDocument/2006/relationships" r:embed="rId4"/>
        <a:stretch>
          <a:fillRect/>
        </a:stretch>
      </xdr:blipFill>
      <xdr:spPr>
        <a:xfrm>
          <a:off x="11109960" y="2115617"/>
          <a:ext cx="4160520" cy="1754352"/>
        </a:xfrm>
        <a:prstGeom prst="rect">
          <a:avLst/>
        </a:prstGeom>
      </xdr:spPr>
    </xdr:pic>
    <xdr:clientData/>
  </xdr:twoCellAnchor>
  <xdr:twoCellAnchor editAs="oneCell">
    <xdr:from>
      <xdr:col>7</xdr:col>
      <xdr:colOff>7621</xdr:colOff>
      <xdr:row>13</xdr:row>
      <xdr:rowOff>312420</xdr:rowOff>
    </xdr:from>
    <xdr:to>
      <xdr:col>11</xdr:col>
      <xdr:colOff>419101</xdr:colOff>
      <xdr:row>20</xdr:row>
      <xdr:rowOff>164899</xdr:rowOff>
    </xdr:to>
    <xdr:pic>
      <xdr:nvPicPr>
        <xdr:cNvPr id="7" name="Picture 6"/>
        <xdr:cNvPicPr>
          <a:picLocks noChangeAspect="1"/>
        </xdr:cNvPicPr>
      </xdr:nvPicPr>
      <xdr:blipFill>
        <a:blip xmlns:r="http://schemas.openxmlformats.org/officeDocument/2006/relationships" r:embed="rId5"/>
        <a:stretch>
          <a:fillRect/>
        </a:stretch>
      </xdr:blipFill>
      <xdr:spPr>
        <a:xfrm>
          <a:off x="8115301" y="4160520"/>
          <a:ext cx="2849880" cy="1757479"/>
        </a:xfrm>
        <a:prstGeom prst="rect">
          <a:avLst/>
        </a:prstGeom>
      </xdr:spPr>
    </xdr:pic>
    <xdr:clientData/>
  </xdr:twoCellAnchor>
  <xdr:twoCellAnchor editAs="oneCell">
    <xdr:from>
      <xdr:col>11</xdr:col>
      <xdr:colOff>571501</xdr:colOff>
      <xdr:row>13</xdr:row>
      <xdr:rowOff>320040</xdr:rowOff>
    </xdr:from>
    <xdr:to>
      <xdr:col>19</xdr:col>
      <xdr:colOff>182881</xdr:colOff>
      <xdr:row>20</xdr:row>
      <xdr:rowOff>142707</xdr:rowOff>
    </xdr:to>
    <xdr:pic>
      <xdr:nvPicPr>
        <xdr:cNvPr id="8" name="Picture 7"/>
        <xdr:cNvPicPr>
          <a:picLocks noChangeAspect="1"/>
        </xdr:cNvPicPr>
      </xdr:nvPicPr>
      <xdr:blipFill>
        <a:blip xmlns:r="http://schemas.openxmlformats.org/officeDocument/2006/relationships" r:embed="rId6"/>
        <a:stretch>
          <a:fillRect/>
        </a:stretch>
      </xdr:blipFill>
      <xdr:spPr>
        <a:xfrm>
          <a:off x="11117581" y="4168140"/>
          <a:ext cx="4488180" cy="1727667"/>
        </a:xfrm>
        <a:prstGeom prst="rect">
          <a:avLst/>
        </a:prstGeom>
      </xdr:spPr>
    </xdr:pic>
    <xdr:clientData/>
  </xdr:twoCellAnchor>
  <xdr:twoCellAnchor editAs="oneCell">
    <xdr:from>
      <xdr:col>11</xdr:col>
      <xdr:colOff>608866</xdr:colOff>
      <xdr:row>21</xdr:row>
      <xdr:rowOff>175261</xdr:rowOff>
    </xdr:from>
    <xdr:to>
      <xdr:col>19</xdr:col>
      <xdr:colOff>124383</xdr:colOff>
      <xdr:row>32</xdr:row>
      <xdr:rowOff>22861</xdr:rowOff>
    </xdr:to>
    <xdr:pic>
      <xdr:nvPicPr>
        <xdr:cNvPr id="10" name="Picture 9"/>
        <xdr:cNvPicPr>
          <a:picLocks noChangeAspect="1"/>
        </xdr:cNvPicPr>
      </xdr:nvPicPr>
      <xdr:blipFill>
        <a:blip xmlns:r="http://schemas.openxmlformats.org/officeDocument/2006/relationships" r:embed="rId7"/>
        <a:stretch>
          <a:fillRect/>
        </a:stretch>
      </xdr:blipFill>
      <xdr:spPr>
        <a:xfrm>
          <a:off x="11154946" y="6111241"/>
          <a:ext cx="4392317" cy="1859279"/>
        </a:xfrm>
        <a:prstGeom prst="rect">
          <a:avLst/>
        </a:prstGeom>
      </xdr:spPr>
    </xdr:pic>
    <xdr:clientData/>
  </xdr:twoCellAnchor>
  <xdr:twoCellAnchor editAs="oneCell">
    <xdr:from>
      <xdr:col>6</xdr:col>
      <xdr:colOff>1526177</xdr:colOff>
      <xdr:row>21</xdr:row>
      <xdr:rowOff>164375</xdr:rowOff>
    </xdr:from>
    <xdr:to>
      <xdr:col>11</xdr:col>
      <xdr:colOff>450335</xdr:colOff>
      <xdr:row>31</xdr:row>
      <xdr:rowOff>164376</xdr:rowOff>
    </xdr:to>
    <xdr:pic>
      <xdr:nvPicPr>
        <xdr:cNvPr id="11" name="Picture 10"/>
        <xdr:cNvPicPr>
          <a:picLocks noChangeAspect="1"/>
        </xdr:cNvPicPr>
      </xdr:nvPicPr>
      <xdr:blipFill>
        <a:blip xmlns:r="http://schemas.openxmlformats.org/officeDocument/2006/relationships" r:embed="rId8"/>
        <a:stretch>
          <a:fillRect/>
        </a:stretch>
      </xdr:blipFill>
      <xdr:spPr>
        <a:xfrm>
          <a:off x="10811691" y="5922918"/>
          <a:ext cx="2951873" cy="1850572"/>
        </a:xfrm>
        <a:prstGeom prst="rect">
          <a:avLst/>
        </a:prstGeom>
      </xdr:spPr>
    </xdr:pic>
    <xdr:clientData/>
  </xdr:twoCellAnchor>
  <xdr:twoCellAnchor editAs="oneCell">
    <xdr:from>
      <xdr:col>0</xdr:col>
      <xdr:colOff>0</xdr:colOff>
      <xdr:row>18</xdr:row>
      <xdr:rowOff>54428</xdr:rowOff>
    </xdr:from>
    <xdr:to>
      <xdr:col>2</xdr:col>
      <xdr:colOff>358528</xdr:colOff>
      <xdr:row>32</xdr:row>
      <xdr:rowOff>87086</xdr:rowOff>
    </xdr:to>
    <xdr:pic>
      <xdr:nvPicPr>
        <xdr:cNvPr id="13" name="Picture 12"/>
        <xdr:cNvPicPr>
          <a:picLocks noChangeAspect="1"/>
        </xdr:cNvPicPr>
      </xdr:nvPicPr>
      <xdr:blipFill>
        <a:blip xmlns:r="http://schemas.openxmlformats.org/officeDocument/2006/relationships" r:embed="rId9"/>
        <a:stretch>
          <a:fillRect/>
        </a:stretch>
      </xdr:blipFill>
      <xdr:spPr>
        <a:xfrm>
          <a:off x="0" y="4746171"/>
          <a:ext cx="5453043" cy="2623458"/>
        </a:xfrm>
        <a:prstGeom prst="rect">
          <a:avLst/>
        </a:prstGeom>
      </xdr:spPr>
    </xdr:pic>
    <xdr:clientData/>
  </xdr:twoCellAnchor>
  <xdr:twoCellAnchor editAs="oneCell">
    <xdr:from>
      <xdr:col>12</xdr:col>
      <xdr:colOff>21771</xdr:colOff>
      <xdr:row>32</xdr:row>
      <xdr:rowOff>108855</xdr:rowOff>
    </xdr:from>
    <xdr:to>
      <xdr:col>19</xdr:col>
      <xdr:colOff>222281</xdr:colOff>
      <xdr:row>40</xdr:row>
      <xdr:rowOff>108856</xdr:rowOff>
    </xdr:to>
    <xdr:pic>
      <xdr:nvPicPr>
        <xdr:cNvPr id="14" name="Picture 13"/>
        <xdr:cNvPicPr>
          <a:picLocks noChangeAspect="1"/>
        </xdr:cNvPicPr>
      </xdr:nvPicPr>
      <xdr:blipFill>
        <a:blip xmlns:r="http://schemas.openxmlformats.org/officeDocument/2006/relationships" r:embed="rId10"/>
        <a:stretch>
          <a:fillRect/>
        </a:stretch>
      </xdr:blipFill>
      <xdr:spPr>
        <a:xfrm>
          <a:off x="12649200" y="7391398"/>
          <a:ext cx="4467710" cy="1480459"/>
        </a:xfrm>
        <a:prstGeom prst="rect">
          <a:avLst/>
        </a:prstGeom>
      </xdr:spPr>
    </xdr:pic>
    <xdr:clientData/>
  </xdr:twoCellAnchor>
  <xdr:twoCellAnchor editAs="oneCell">
    <xdr:from>
      <xdr:col>6</xdr:col>
      <xdr:colOff>1556658</xdr:colOff>
      <xdr:row>32</xdr:row>
      <xdr:rowOff>65316</xdr:rowOff>
    </xdr:from>
    <xdr:to>
      <xdr:col>11</xdr:col>
      <xdr:colOff>488900</xdr:colOff>
      <xdr:row>42</xdr:row>
      <xdr:rowOff>21772</xdr:rowOff>
    </xdr:to>
    <xdr:pic>
      <xdr:nvPicPr>
        <xdr:cNvPr id="15" name="Picture 14"/>
        <xdr:cNvPicPr>
          <a:picLocks noChangeAspect="1"/>
        </xdr:cNvPicPr>
      </xdr:nvPicPr>
      <xdr:blipFill>
        <a:blip xmlns:r="http://schemas.openxmlformats.org/officeDocument/2006/relationships" r:embed="rId11"/>
        <a:stretch>
          <a:fillRect/>
        </a:stretch>
      </xdr:blipFill>
      <xdr:spPr>
        <a:xfrm>
          <a:off x="10842172" y="7859487"/>
          <a:ext cx="2959957" cy="1807028"/>
        </a:xfrm>
        <a:prstGeom prst="rect">
          <a:avLst/>
        </a:prstGeom>
      </xdr:spPr>
    </xdr:pic>
    <xdr:clientData/>
  </xdr:twoCellAnchor>
  <xdr:twoCellAnchor>
    <xdr:from>
      <xdr:col>2</xdr:col>
      <xdr:colOff>1088571</xdr:colOff>
      <xdr:row>7</xdr:row>
      <xdr:rowOff>587829</xdr:rowOff>
    </xdr:from>
    <xdr:to>
      <xdr:col>8</xdr:col>
      <xdr:colOff>152400</xdr:colOff>
      <xdr:row>40</xdr:row>
      <xdr:rowOff>21771</xdr:rowOff>
    </xdr:to>
    <xdr:cxnSp macro="">
      <xdr:nvCxnSpPr>
        <xdr:cNvPr id="17" name="Straight Arrow Connector 16"/>
        <xdr:cNvCxnSpPr/>
      </xdr:nvCxnSpPr>
      <xdr:spPr>
        <a:xfrm>
          <a:off x="3810000" y="1883229"/>
          <a:ext cx="7826829" cy="7413171"/>
        </a:xfrm>
        <a:prstGeom prst="straightConnector1">
          <a:avLst/>
        </a:prstGeom>
        <a:ln>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925285</xdr:colOff>
      <xdr:row>6</xdr:row>
      <xdr:rowOff>108857</xdr:rowOff>
    </xdr:from>
    <xdr:to>
      <xdr:col>13</xdr:col>
      <xdr:colOff>206828</xdr:colOff>
      <xdr:row>39</xdr:row>
      <xdr:rowOff>10886</xdr:rowOff>
    </xdr:to>
    <xdr:cxnSp macro="">
      <xdr:nvCxnSpPr>
        <xdr:cNvPr id="20" name="Straight Arrow Connector 19"/>
        <xdr:cNvCxnSpPr/>
      </xdr:nvCxnSpPr>
      <xdr:spPr>
        <a:xfrm>
          <a:off x="6313714" y="1219200"/>
          <a:ext cx="7130143" cy="7369629"/>
        </a:xfrm>
        <a:prstGeom prst="straightConnector1">
          <a:avLst/>
        </a:prstGeom>
        <a:ln>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130630</xdr:colOff>
      <xdr:row>42</xdr:row>
      <xdr:rowOff>152399</xdr:rowOff>
    </xdr:from>
    <xdr:to>
      <xdr:col>21</xdr:col>
      <xdr:colOff>260657</xdr:colOff>
      <xdr:row>67</xdr:row>
      <xdr:rowOff>70132</xdr:rowOff>
    </xdr:to>
    <xdr:pic>
      <xdr:nvPicPr>
        <xdr:cNvPr id="23" name="Picture 22"/>
        <xdr:cNvPicPr>
          <a:picLocks noChangeAspect="1"/>
        </xdr:cNvPicPr>
      </xdr:nvPicPr>
      <xdr:blipFill>
        <a:blip xmlns:r="http://schemas.openxmlformats.org/officeDocument/2006/relationships" r:embed="rId12"/>
        <a:stretch>
          <a:fillRect/>
        </a:stretch>
      </xdr:blipFill>
      <xdr:spPr>
        <a:xfrm>
          <a:off x="16415659" y="9797142"/>
          <a:ext cx="5616427" cy="5349704"/>
        </a:xfrm>
        <a:prstGeom prst="rect">
          <a:avLst/>
        </a:prstGeom>
      </xdr:spPr>
    </xdr:pic>
    <xdr:clientData/>
  </xdr:twoCellAnchor>
  <xdr:twoCellAnchor>
    <xdr:from>
      <xdr:col>4</xdr:col>
      <xdr:colOff>1208314</xdr:colOff>
      <xdr:row>7</xdr:row>
      <xdr:rowOff>642257</xdr:rowOff>
    </xdr:from>
    <xdr:to>
      <xdr:col>13</xdr:col>
      <xdr:colOff>97971</xdr:colOff>
      <xdr:row>47</xdr:row>
      <xdr:rowOff>97971</xdr:rowOff>
    </xdr:to>
    <xdr:cxnSp macro="">
      <xdr:nvCxnSpPr>
        <xdr:cNvPr id="24" name="Straight Arrow Connector 23"/>
        <xdr:cNvCxnSpPr/>
      </xdr:nvCxnSpPr>
      <xdr:spPr>
        <a:xfrm>
          <a:off x="6923314" y="1937657"/>
          <a:ext cx="7707086" cy="8730343"/>
        </a:xfrm>
        <a:prstGeom prst="straightConnector1">
          <a:avLst/>
        </a:prstGeom>
        <a:ln>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topLeftCell="F1" zoomScale="130" zoomScaleNormal="130" workbookViewId="0">
      <selection activeCell="R19" sqref="R19"/>
    </sheetView>
  </sheetViews>
  <sheetFormatPr defaultRowHeight="14.4" x14ac:dyDescent="0.3"/>
  <cols>
    <col min="6" max="6" width="10.44140625" bestFit="1" customWidth="1"/>
    <col min="7" max="8" width="9.33203125" bestFit="1" customWidth="1"/>
    <col min="14" max="14" width="12.21875" bestFit="1" customWidth="1"/>
    <col min="15" max="16" width="10.33203125" bestFit="1" customWidth="1"/>
  </cols>
  <sheetData>
    <row r="1" spans="1:16" x14ac:dyDescent="0.3">
      <c r="O1" t="s">
        <v>3</v>
      </c>
      <c r="P1" t="s">
        <v>4</v>
      </c>
    </row>
    <row r="2" spans="1:16" x14ac:dyDescent="0.3">
      <c r="N2" t="s">
        <v>2</v>
      </c>
      <c r="O2" s="3">
        <v>24670</v>
      </c>
      <c r="P2" s="3">
        <v>24894.5</v>
      </c>
    </row>
    <row r="3" spans="1:16" x14ac:dyDescent="0.3">
      <c r="A3" t="s">
        <v>0</v>
      </c>
      <c r="O3" s="3">
        <v>-1000</v>
      </c>
      <c r="P3" s="3">
        <v>970</v>
      </c>
    </row>
    <row r="4" spans="1:16" x14ac:dyDescent="0.3">
      <c r="F4" t="s">
        <v>1</v>
      </c>
      <c r="O4" s="3">
        <v>-2000</v>
      </c>
      <c r="P4" s="3">
        <v>1940</v>
      </c>
    </row>
    <row r="5" spans="1:16" x14ac:dyDescent="0.3">
      <c r="O5" s="3">
        <v>-5000</v>
      </c>
      <c r="P5" s="3">
        <v>4850</v>
      </c>
    </row>
    <row r="6" spans="1:16" x14ac:dyDescent="0.3">
      <c r="O6" s="3">
        <v>-10000</v>
      </c>
      <c r="P6" s="3">
        <v>9700</v>
      </c>
    </row>
    <row r="7" spans="1:16" x14ac:dyDescent="0.3">
      <c r="O7" s="2">
        <f>SUM(O2:O6)</f>
        <v>6670</v>
      </c>
      <c r="P7" s="2">
        <f>SUM(P2:P6)</f>
        <v>42354.5</v>
      </c>
    </row>
    <row r="8" spans="1:16" x14ac:dyDescent="0.3">
      <c r="O8" s="2">
        <v>10010</v>
      </c>
      <c r="P8" s="2">
        <v>-170</v>
      </c>
    </row>
    <row r="9" spans="1:16" x14ac:dyDescent="0.3">
      <c r="N9" t="s">
        <v>6</v>
      </c>
      <c r="O9" s="2">
        <f>O8-O7</f>
        <v>3340</v>
      </c>
      <c r="P9" s="2">
        <f>P8+P7</f>
        <v>42184.5</v>
      </c>
    </row>
    <row r="10" spans="1:16" x14ac:dyDescent="0.3">
      <c r="O10" t="s">
        <v>5</v>
      </c>
      <c r="P10" s="2">
        <f>P9-P7</f>
        <v>-170</v>
      </c>
    </row>
    <row r="12" spans="1:16" x14ac:dyDescent="0.3">
      <c r="A12">
        <v>24710</v>
      </c>
    </row>
    <row r="13" spans="1:16" x14ac:dyDescent="0.3">
      <c r="F13" s="3">
        <v>24894.5</v>
      </c>
    </row>
    <row r="14" spans="1:16" x14ac:dyDescent="0.3">
      <c r="F14" s="3">
        <v>26874.5</v>
      </c>
      <c r="G14" s="2">
        <f>F14-F13</f>
        <v>1980</v>
      </c>
      <c r="H14" s="2">
        <f>G14-2000</f>
        <v>-20</v>
      </c>
      <c r="I14" s="4">
        <f>H14/2000</f>
        <v>-0.01</v>
      </c>
    </row>
    <row r="15" spans="1:16" x14ac:dyDescent="0.3">
      <c r="F15" s="1">
        <v>31824.5</v>
      </c>
      <c r="G15" s="2">
        <f>F15-F14</f>
        <v>4950</v>
      </c>
      <c r="H15" s="2">
        <f>G15-5000</f>
        <v>-50</v>
      </c>
      <c r="I15" s="4">
        <f>H15/5000</f>
        <v>-0.01</v>
      </c>
    </row>
    <row r="16" spans="1:16" x14ac:dyDescent="0.3">
      <c r="F16" s="3">
        <v>41724.5</v>
      </c>
      <c r="G16" s="2">
        <f>F16-F15</f>
        <v>9900</v>
      </c>
      <c r="H16" s="2">
        <f>G16-10000</f>
        <v>-100</v>
      </c>
      <c r="I16" s="4">
        <f>H16/10000</f>
        <v>-0.01</v>
      </c>
    </row>
  </sheetData>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46"/>
  <sheetViews>
    <sheetView tabSelected="1" zoomScale="70" zoomScaleNormal="70" workbookViewId="0">
      <selection activeCell="G46" sqref="G46"/>
    </sheetView>
  </sheetViews>
  <sheetFormatPr defaultRowHeight="14.4" x14ac:dyDescent="0.3"/>
  <cols>
    <col min="1" max="1" width="62.44140625" customWidth="1"/>
    <col min="2" max="2" width="11.6640625" customWidth="1"/>
    <col min="3" max="3" width="16.5546875" customWidth="1"/>
    <col min="4" max="4" width="27.109375" customWidth="1"/>
    <col min="5" max="5" width="17.77734375" customWidth="1"/>
    <col min="6" max="6" width="34.21875" bestFit="1" customWidth="1"/>
    <col min="7" max="7" width="23.109375" customWidth="1"/>
  </cols>
  <sheetData>
    <row r="1" spans="1:7" x14ac:dyDescent="0.3">
      <c r="A1" t="s">
        <v>7</v>
      </c>
      <c r="B1" t="s">
        <v>3</v>
      </c>
      <c r="C1" s="11" t="s">
        <v>22</v>
      </c>
      <c r="E1" t="s">
        <v>4</v>
      </c>
      <c r="F1" t="s">
        <v>26</v>
      </c>
      <c r="G1" s="11" t="s">
        <v>25</v>
      </c>
    </row>
    <row r="2" spans="1:7" x14ac:dyDescent="0.3">
      <c r="A2" t="s">
        <v>8</v>
      </c>
      <c r="B2" s="3">
        <v>10000</v>
      </c>
      <c r="C2" s="12">
        <v>10000</v>
      </c>
      <c r="D2" s="3"/>
      <c r="E2" s="3">
        <v>10000</v>
      </c>
      <c r="G2" s="11"/>
    </row>
    <row r="3" spans="1:7" x14ac:dyDescent="0.3">
      <c r="A3" t="s">
        <v>9</v>
      </c>
      <c r="B3" s="3">
        <v>-1000</v>
      </c>
      <c r="C3" s="12">
        <v>-1100</v>
      </c>
      <c r="D3" s="3" t="s">
        <v>12</v>
      </c>
      <c r="E3" s="3">
        <v>990</v>
      </c>
      <c r="F3">
        <v>10</v>
      </c>
      <c r="G3" s="12">
        <f>B3*-1.03+B3</f>
        <v>30</v>
      </c>
    </row>
    <row r="4" spans="1:7" x14ac:dyDescent="0.3">
      <c r="A4" t="s">
        <v>10</v>
      </c>
      <c r="B4" s="3">
        <v>-2000</v>
      </c>
      <c r="C4" s="12">
        <v>-2200</v>
      </c>
      <c r="D4" s="3" t="s">
        <v>12</v>
      </c>
      <c r="E4" s="3">
        <v>1980</v>
      </c>
      <c r="F4">
        <v>20</v>
      </c>
      <c r="G4" s="12">
        <f t="shared" ref="G4:G5" si="0">B4*-1.03+B4</f>
        <v>60</v>
      </c>
    </row>
    <row r="5" spans="1:7" x14ac:dyDescent="0.3">
      <c r="A5" t="s">
        <v>11</v>
      </c>
      <c r="B5" s="3">
        <v>-5000</v>
      </c>
      <c r="C5" s="12">
        <v>-5500</v>
      </c>
      <c r="D5" s="3" t="s">
        <v>12</v>
      </c>
      <c r="E5" s="3">
        <v>4950</v>
      </c>
      <c r="F5">
        <v>50</v>
      </c>
      <c r="G5" s="12">
        <f t="shared" si="0"/>
        <v>150</v>
      </c>
    </row>
    <row r="6" spans="1:7" x14ac:dyDescent="0.3">
      <c r="A6" t="s">
        <v>29</v>
      </c>
      <c r="B6" s="3">
        <v>-1000</v>
      </c>
      <c r="C6" s="12">
        <v>-1100</v>
      </c>
      <c r="D6" s="3" t="s">
        <v>12</v>
      </c>
      <c r="E6" s="3">
        <v>990</v>
      </c>
      <c r="F6">
        <v>10</v>
      </c>
      <c r="G6" s="12">
        <f>B6*-1.03+B6</f>
        <v>30</v>
      </c>
    </row>
    <row r="7" spans="1:7" x14ac:dyDescent="0.3">
      <c r="A7" t="s">
        <v>23</v>
      </c>
      <c r="B7" s="2">
        <f>SUM(B2:B6)</f>
        <v>1000</v>
      </c>
      <c r="C7" s="13">
        <f>SUM(C2:C6)</f>
        <v>100</v>
      </c>
      <c r="D7" t="s">
        <v>32</v>
      </c>
      <c r="E7" s="9">
        <f>SUM(E2:E6)</f>
        <v>18910</v>
      </c>
      <c r="F7" s="5">
        <f>SUM(F3:F6)</f>
        <v>90</v>
      </c>
      <c r="G7" s="6">
        <f>SUM(G3:G6)</f>
        <v>270</v>
      </c>
    </row>
    <row r="8" spans="1:7" ht="54.6" customHeight="1" x14ac:dyDescent="0.3">
      <c r="A8" t="s">
        <v>32</v>
      </c>
      <c r="B8" s="2"/>
      <c r="C8" s="2">
        <v>1180</v>
      </c>
      <c r="D8" s="3" t="s">
        <v>24</v>
      </c>
      <c r="E8" s="3">
        <v>8730</v>
      </c>
      <c r="G8" s="8"/>
    </row>
    <row r="9" spans="1:7" x14ac:dyDescent="0.3">
      <c r="A9" s="21" t="s">
        <v>38</v>
      </c>
      <c r="B9" s="21"/>
      <c r="C9" s="20">
        <f>C8-C7</f>
        <v>1080</v>
      </c>
      <c r="D9" s="12" t="s">
        <v>27</v>
      </c>
      <c r="E9" s="13">
        <v>18730</v>
      </c>
    </row>
    <row r="10" spans="1:7" x14ac:dyDescent="0.3">
      <c r="D10" s="22" t="s">
        <v>19</v>
      </c>
      <c r="E10" s="20">
        <f>E9-E7</f>
        <v>-180</v>
      </c>
      <c r="F10" s="2"/>
    </row>
    <row r="11" spans="1:7" x14ac:dyDescent="0.3">
      <c r="F11" s="2"/>
    </row>
    <row r="12" spans="1:7" x14ac:dyDescent="0.3">
      <c r="A12" s="7" t="s">
        <v>13</v>
      </c>
      <c r="B12" s="7" t="s">
        <v>14</v>
      </c>
      <c r="C12" s="7"/>
      <c r="D12" s="7" t="s">
        <v>15</v>
      </c>
      <c r="E12" s="14"/>
    </row>
    <row r="13" spans="1:7" ht="72.599999999999994" customHeight="1" x14ac:dyDescent="0.3">
      <c r="A13" s="15" t="s">
        <v>16</v>
      </c>
      <c r="B13" s="16">
        <v>7.0000000000000007E-2</v>
      </c>
      <c r="C13" s="17"/>
      <c r="D13" s="18" t="s">
        <v>20</v>
      </c>
      <c r="E13" s="18" t="s">
        <v>21</v>
      </c>
    </row>
    <row r="14" spans="1:7" ht="63.6" customHeight="1" x14ac:dyDescent="0.3">
      <c r="A14" s="15" t="s">
        <v>17</v>
      </c>
      <c r="B14" s="16">
        <v>0.03</v>
      </c>
      <c r="C14" s="17"/>
      <c r="D14" s="18" t="s">
        <v>20</v>
      </c>
      <c r="E14" s="18" t="s">
        <v>21</v>
      </c>
    </row>
    <row r="15" spans="1:7" x14ac:dyDescent="0.3">
      <c r="A15" s="15" t="s">
        <v>39</v>
      </c>
      <c r="B15" s="17">
        <v>0.03</v>
      </c>
      <c r="C15" s="19"/>
      <c r="D15" s="15" t="s">
        <v>40</v>
      </c>
      <c r="E15" s="14"/>
    </row>
    <row r="16" spans="1:7" x14ac:dyDescent="0.3">
      <c r="A16" s="15" t="s">
        <v>18</v>
      </c>
      <c r="B16" s="15"/>
      <c r="C16" s="15"/>
      <c r="D16" s="15"/>
      <c r="E16" s="14"/>
    </row>
    <row r="18" spans="1:4" x14ac:dyDescent="0.3">
      <c r="A18" s="10" t="s">
        <v>28</v>
      </c>
      <c r="B18" s="11"/>
      <c r="C18" s="11"/>
      <c r="D18" s="11"/>
    </row>
    <row r="35" spans="1:1" x14ac:dyDescent="0.3">
      <c r="A35" t="s">
        <v>33</v>
      </c>
    </row>
    <row r="37" spans="1:1" x14ac:dyDescent="0.3">
      <c r="A37" t="s">
        <v>37</v>
      </c>
    </row>
    <row r="38" spans="1:1" x14ac:dyDescent="0.3">
      <c r="A38" t="s">
        <v>34</v>
      </c>
    </row>
    <row r="39" spans="1:1" x14ac:dyDescent="0.3">
      <c r="A39" t="s">
        <v>35</v>
      </c>
    </row>
    <row r="40" spans="1:1" x14ac:dyDescent="0.3">
      <c r="A40" t="s">
        <v>41</v>
      </c>
    </row>
    <row r="41" spans="1:1" x14ac:dyDescent="0.3">
      <c r="A41" t="s">
        <v>42</v>
      </c>
    </row>
    <row r="43" spans="1:1" x14ac:dyDescent="0.3">
      <c r="A43" t="s">
        <v>36</v>
      </c>
    </row>
    <row r="44" spans="1:1" x14ac:dyDescent="0.3">
      <c r="A44" t="s">
        <v>30</v>
      </c>
    </row>
    <row r="45" spans="1:1" x14ac:dyDescent="0.3">
      <c r="A45" t="s">
        <v>31</v>
      </c>
    </row>
    <row r="46" spans="1:1" ht="78" customHeight="1" x14ac:dyDescent="0.3">
      <c r="A46" s="8" t="s">
        <v>43</v>
      </c>
    </row>
  </sheetData>
  <pageMargins left="0.7" right="0.7" top="0.75" bottom="0.75" header="0.3" footer="0.3"/>
  <pageSetup paperSize="9" orientation="portrait" horizontalDpi="4294967293"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LEGION</cp:lastModifiedBy>
  <dcterms:created xsi:type="dcterms:W3CDTF">2026-06-03T05:38:48Z</dcterms:created>
  <dcterms:modified xsi:type="dcterms:W3CDTF">2026-06-03T14:17:38Z</dcterms:modified>
</cp:coreProperties>
</file>